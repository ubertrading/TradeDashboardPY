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s\dev\TradeDashboard\TradeDashboardPY\"/>
    </mc:Choice>
  </mc:AlternateContent>
  <xr:revisionPtr revIDLastSave="0" documentId="13_ncr:1_{5FF64274-1BBE-4DD2-8DBF-CBBA9F10182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edge Optimiz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15" i="1" s="1"/>
  <c r="B10" i="1" l="1"/>
  <c r="B19" i="1" s="1"/>
  <c r="B23" i="1" s="1"/>
  <c r="B18" i="1" l="1"/>
  <c r="B22" i="1" s="1"/>
</calcChain>
</file>

<file path=xl/sharedStrings.xml><?xml version="1.0" encoding="utf-8"?>
<sst xmlns="http://schemas.openxmlformats.org/spreadsheetml/2006/main" count="19" uniqueCount="16">
  <si>
    <t>Hedge Capital Optimization Calculator</t>
  </si>
  <si>
    <t>Total Capital</t>
  </si>
  <si>
    <t>Lots Traded (Per Side)</t>
  </si>
  <si>
    <t>Contract Size</t>
  </si>
  <si>
    <t>Notional Value</t>
  </si>
  <si>
    <t>Leverage</t>
  </si>
  <si>
    <t>Stop Out Level</t>
  </si>
  <si>
    <t>Locked Margin</t>
  </si>
  <si>
    <t>Optimized Allocation</t>
  </si>
  <si>
    <t>Optimal Alloc. Acc 1 (IC)</t>
  </si>
  <si>
    <t>Optimal Alloc. Acc 2 (YCM)</t>
  </si>
  <si>
    <t>Allocation Ratio</t>
  </si>
  <si>
    <t>Account 2 +SWAP</t>
  </si>
  <si>
    <t>Account 1 ((SWAPFREE)</t>
  </si>
  <si>
    <t>Ratio Acc 1 (SWAPFREE)</t>
  </si>
  <si>
    <t>Ratio Acc 2 (+SWAP)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</si>
</sst>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I11" sqref="I11"/>
    </sheetView>
  </sheetViews>
  <sheetFormatPr defaultRowHeight="14.4" x14ac:dyDescent="0.3"/>
  <cols>
    <col min="1" max="1" width="32" customWidth="1"/>
    <col min="2" max="2" width="25" customWidth="1"/>
  </cols>
  <sheetData>
    <row r="1" spans="1:2" x14ac:dyDescent="0.3">
      <c r="A1" s="1" t="s">
        <v>0</v>
      </c>
      <c r="B1" s="1"/>
    </row>
    <row r="2" spans="1:2" x14ac:dyDescent="0.3">
      <c r="A2" t="s">
        <v>1</v>
      </c>
      <c r="B2" s="2">
        <v>2468000</v>
      </c>
    </row>
    <row r="3" spans="1:2" x14ac:dyDescent="0.3">
      <c r="A3" t="s">
        <v>2</v>
      </c>
      <c r="B3">
        <v>1000</v>
      </c>
    </row>
    <row r="4" spans="1:2" x14ac:dyDescent="0.3">
      <c r="A4" t="s">
        <v>3</v>
      </c>
      <c r="B4">
        <v>100000</v>
      </c>
    </row>
    <row r="5" spans="1:2" x14ac:dyDescent="0.3">
      <c r="A5" t="s">
        <v>4</v>
      </c>
      <c r="B5" s="2">
        <f>B3*B4</f>
        <v>100000000</v>
      </c>
    </row>
    <row r="7" spans="1:2" x14ac:dyDescent="0.3">
      <c r="A7" s="1" t="s">
        <v>13</v>
      </c>
      <c r="B7" s="1"/>
    </row>
    <row r="8" spans="1:2" x14ac:dyDescent="0.3">
      <c r="A8" t="s">
        <v>5</v>
      </c>
      <c r="B8">
        <v>1000</v>
      </c>
    </row>
    <row r="9" spans="1:2" x14ac:dyDescent="0.3">
      <c r="A9" t="s">
        <v>6</v>
      </c>
      <c r="B9" s="3">
        <v>0.5</v>
      </c>
    </row>
    <row r="10" spans="1:2" x14ac:dyDescent="0.3">
      <c r="A10" t="s">
        <v>7</v>
      </c>
      <c r="B10" s="2">
        <f>B5*(B9/B8)</f>
        <v>50000</v>
      </c>
    </row>
    <row r="12" spans="1:2" x14ac:dyDescent="0.3">
      <c r="A12" s="1" t="s">
        <v>12</v>
      </c>
      <c r="B12" s="1"/>
    </row>
    <row r="13" spans="1:2" x14ac:dyDescent="0.3">
      <c r="A13" t="s">
        <v>5</v>
      </c>
      <c r="B13">
        <v>100</v>
      </c>
    </row>
    <row r="14" spans="1:2" x14ac:dyDescent="0.3">
      <c r="A14" t="s">
        <v>6</v>
      </c>
      <c r="B14" s="3">
        <v>0.8</v>
      </c>
    </row>
    <row r="15" spans="1:2" x14ac:dyDescent="0.3">
      <c r="A15" t="s">
        <v>7</v>
      </c>
      <c r="B15" s="2">
        <f>B5*(B14/B13)</f>
        <v>800000</v>
      </c>
    </row>
    <row r="17" spans="1:2" x14ac:dyDescent="0.3">
      <c r="A17" s="1" t="s">
        <v>8</v>
      </c>
      <c r="B17" s="1"/>
    </row>
    <row r="18" spans="1:2" x14ac:dyDescent="0.3">
      <c r="A18" t="s">
        <v>9</v>
      </c>
      <c r="B18" s="2">
        <f>(B2/2)+((B10-B15)/2)</f>
        <v>859000</v>
      </c>
    </row>
    <row r="19" spans="1:2" x14ac:dyDescent="0.3">
      <c r="A19" t="s">
        <v>10</v>
      </c>
      <c r="B19" s="2">
        <f>(B2/2)-((B10-B15)/2)</f>
        <v>1609000</v>
      </c>
    </row>
    <row r="21" spans="1:2" x14ac:dyDescent="0.3">
      <c r="A21" s="1" t="s">
        <v>11</v>
      </c>
      <c r="B21" s="1"/>
    </row>
    <row r="22" spans="1:2" x14ac:dyDescent="0.3">
      <c r="A22" t="s">
        <v>14</v>
      </c>
      <c r="B22" s="4">
        <f>B18/B2</f>
        <v>0.34805510534846029</v>
      </c>
    </row>
    <row r="23" spans="1:2" x14ac:dyDescent="0.3">
      <c r="A23" t="s">
        <v>15</v>
      </c>
      <c r="B23" s="4">
        <f>B19/B2</f>
        <v>0.65194489465153971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Hedge Optimization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Montes</cp:lastModifiedBy>
  <dcterms:created xsi:type="dcterms:W3CDTF">2026-07-05T13:56:15Z</dcterms:created>
  <dcterms:modified xsi:type="dcterms:W3CDTF">2026-07-05T14:05:39Z</dcterms:modified>
</cp:coreProperties>
</file>