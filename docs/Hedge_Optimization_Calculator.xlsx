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cuments\dev\TradeDashboard\TradeDashboardPY\docs\"/>
    </mc:Choice>
  </mc:AlternateContent>
  <xr:revisionPtr revIDLastSave="0" documentId="13_ncr:1_{A1999C4A-315B-499B-A8B0-33C86A98CA0D}" xr6:coauthVersionLast="47" xr6:coauthVersionMax="47" xr10:uidLastSave="{00000000-0000-0000-0000-000000000000}"/>
  <bookViews>
    <workbookView xWindow="760" yWindow="760" windowWidth="14400" windowHeight="9270" xr2:uid="{00000000-000D-0000-FFFF-FFFF00000000}"/>
  </bookViews>
  <sheets>
    <sheet name="Hedge Optimization" sheetId="1" r:id="rId1"/>
    <sheet name="Swap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C4" i="3"/>
  <c r="E4" i="3"/>
  <c r="B4" i="3"/>
  <c r="B5" i="1" l="1"/>
  <c r="B15" i="1" s="1"/>
  <c r="B10" i="1" l="1"/>
  <c r="B19" i="1" s="1"/>
  <c r="B23" i="1" s="1"/>
  <c r="B18" i="1" l="1"/>
  <c r="B22" i="1" s="1"/>
</calcChain>
</file>

<file path=xl/sharedStrings.xml><?xml version="1.0" encoding="utf-8"?>
<sst xmlns="http://schemas.openxmlformats.org/spreadsheetml/2006/main" count="34" uniqueCount="29">
  <si>
    <t>Hedge Capital Optimization Calculator</t>
  </si>
  <si>
    <t>Total Capital</t>
  </si>
  <si>
    <t>Lots Traded (Per Side)</t>
  </si>
  <si>
    <t>Contract Size</t>
  </si>
  <si>
    <t>Notional Value</t>
  </si>
  <si>
    <t>Leverage</t>
  </si>
  <si>
    <t>Stop Out Level</t>
  </si>
  <si>
    <t>Locked Margin</t>
  </si>
  <si>
    <t>Optimized Allocation</t>
  </si>
  <si>
    <t>Allocation Ratio</t>
  </si>
  <si>
    <t>Account 2 +SWAP</t>
  </si>
  <si>
    <t>Account 1 ((SWAPFREE)</t>
  </si>
  <si>
    <t>Ratio Acc 1 (SWAPFREE)</t>
  </si>
  <si>
    <t>Ratio Acc 2 (+SWAP)</t>
  </si>
  <si>
    <t>YCM</t>
  </si>
  <si>
    <t>usdchf</t>
  </si>
  <si>
    <t>100:1</t>
  </si>
  <si>
    <t>400:1</t>
  </si>
  <si>
    <t>200:1</t>
  </si>
  <si>
    <t>SWP IN POINTS</t>
  </si>
  <si>
    <t>SWP IN USD</t>
  </si>
  <si>
    <t>MAX LEVERAGE</t>
  </si>
  <si>
    <t>MEXATLANTIC</t>
  </si>
  <si>
    <t>DUKASCOPY</t>
  </si>
  <si>
    <t>SWISSQUOTE</t>
  </si>
  <si>
    <t>BRITANNIA</t>
  </si>
  <si>
    <t>as of june 24,2026</t>
  </si>
  <si>
    <t>Optimal Alloc. Acc 1 (SFREE)</t>
  </si>
  <si>
    <t>Optimal Alloc. Acc 2 (+SWAP)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</si>
</sst>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49" fontId="0" fillId="0" borderId="0" xfId="0" applyNumberFormat="1"/>
    <xf numFmtId="2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topLeftCell="A10" workbookViewId="0">
      <selection activeCell="B20" sqref="B20"/>
    </sheetView>
  </sheetViews>
  <sheetFormatPr defaultRowHeight="14.5" x14ac:dyDescent="0.35"/>
  <cols>
    <col min="1" max="1" width="32" customWidth="1"/>
    <col min="2" max="2" width="25" customWidth="1"/>
  </cols>
  <sheetData>
    <row r="1" spans="1:2" x14ac:dyDescent="0.35">
      <c r="A1" s="1" t="s">
        <v>0</v>
      </c>
      <c r="B1" s="1"/>
    </row>
    <row r="2" spans="1:2" x14ac:dyDescent="0.35">
      <c r="A2" t="s">
        <v>1</v>
      </c>
      <c r="B2" s="2">
        <v>2183000</v>
      </c>
    </row>
    <row r="3" spans="1:2" x14ac:dyDescent="0.35">
      <c r="A3" t="s">
        <v>2</v>
      </c>
      <c r="B3">
        <v>500</v>
      </c>
    </row>
    <row r="4" spans="1:2" x14ac:dyDescent="0.35">
      <c r="A4" t="s">
        <v>3</v>
      </c>
      <c r="B4">
        <v>100000</v>
      </c>
    </row>
    <row r="5" spans="1:2" x14ac:dyDescent="0.35">
      <c r="A5" t="s">
        <v>4</v>
      </c>
      <c r="B5" s="2">
        <f>B3*B4</f>
        <v>50000000</v>
      </c>
    </row>
    <row r="7" spans="1:2" x14ac:dyDescent="0.35">
      <c r="A7" s="1" t="s">
        <v>11</v>
      </c>
      <c r="B7" s="1"/>
    </row>
    <row r="8" spans="1:2" x14ac:dyDescent="0.35">
      <c r="A8" t="s">
        <v>5</v>
      </c>
      <c r="B8">
        <v>1000</v>
      </c>
    </row>
    <row r="9" spans="1:2" x14ac:dyDescent="0.35">
      <c r="A9" t="s">
        <v>6</v>
      </c>
      <c r="B9" s="3">
        <v>0.5</v>
      </c>
    </row>
    <row r="10" spans="1:2" x14ac:dyDescent="0.35">
      <c r="A10" t="s">
        <v>7</v>
      </c>
      <c r="B10" s="2">
        <f>B5*(B9/B8)</f>
        <v>25000</v>
      </c>
    </row>
    <row r="12" spans="1:2" x14ac:dyDescent="0.35">
      <c r="A12" s="1" t="s">
        <v>10</v>
      </c>
      <c r="B12" s="1"/>
    </row>
    <row r="13" spans="1:2" x14ac:dyDescent="0.35">
      <c r="A13" t="s">
        <v>5</v>
      </c>
      <c r="B13">
        <v>100</v>
      </c>
    </row>
    <row r="14" spans="1:2" x14ac:dyDescent="0.35">
      <c r="A14" t="s">
        <v>6</v>
      </c>
      <c r="B14" s="3">
        <v>0.8</v>
      </c>
    </row>
    <row r="15" spans="1:2" x14ac:dyDescent="0.35">
      <c r="A15" t="s">
        <v>7</v>
      </c>
      <c r="B15" s="2">
        <f>B5*(B14/B13)</f>
        <v>400000</v>
      </c>
    </row>
    <row r="17" spans="1:2" x14ac:dyDescent="0.35">
      <c r="A17" s="1" t="s">
        <v>8</v>
      </c>
      <c r="B17" s="1"/>
    </row>
    <row r="18" spans="1:2" x14ac:dyDescent="0.35">
      <c r="A18" t="s">
        <v>27</v>
      </c>
      <c r="B18" s="2">
        <f>(B2/2)+((B10-B15)/2)</f>
        <v>904000</v>
      </c>
    </row>
    <row r="19" spans="1:2" x14ac:dyDescent="0.35">
      <c r="A19" t="s">
        <v>28</v>
      </c>
      <c r="B19" s="2">
        <f>(B2/2)-((B10-B15)/2)</f>
        <v>1279000</v>
      </c>
    </row>
    <row r="21" spans="1:2" x14ac:dyDescent="0.35">
      <c r="A21" s="1" t="s">
        <v>9</v>
      </c>
      <c r="B21" s="1"/>
    </row>
    <row r="22" spans="1:2" x14ac:dyDescent="0.35">
      <c r="A22" t="s">
        <v>12</v>
      </c>
      <c r="B22" s="4">
        <f>B18/B2</f>
        <v>0.41410902427851581</v>
      </c>
    </row>
    <row r="23" spans="1:2" x14ac:dyDescent="0.35">
      <c r="A23" t="s">
        <v>13</v>
      </c>
      <c r="B23" s="4">
        <f>B19/B2</f>
        <v>0.58589097572148419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3EE0-2349-4BB4-89F2-581C4FD197A5}">
  <dimension ref="A1:H5"/>
  <sheetViews>
    <sheetView workbookViewId="0">
      <selection activeCell="E9" sqref="E9"/>
    </sheetView>
  </sheetViews>
  <sheetFormatPr defaultRowHeight="14.5" x14ac:dyDescent="0.35"/>
  <cols>
    <col min="1" max="1" width="13.453125" bestFit="1" customWidth="1"/>
    <col min="2" max="2" width="9.90625" bestFit="1" customWidth="1"/>
    <col min="3" max="3" width="10.90625" bestFit="1" customWidth="1"/>
    <col min="4" max="4" width="11.90625" bestFit="1" customWidth="1"/>
    <col min="6" max="6" width="11.81640625" bestFit="1" customWidth="1"/>
  </cols>
  <sheetData>
    <row r="1" spans="1:8" x14ac:dyDescent="0.35">
      <c r="B1" t="s">
        <v>25</v>
      </c>
      <c r="C1" t="s">
        <v>23</v>
      </c>
      <c r="D1" t="s">
        <v>24</v>
      </c>
      <c r="E1" t="s">
        <v>14</v>
      </c>
      <c r="F1" t="s">
        <v>22</v>
      </c>
      <c r="H1" t="s">
        <v>15</v>
      </c>
    </row>
    <row r="2" spans="1:8" x14ac:dyDescent="0.35">
      <c r="A2" t="s">
        <v>21</v>
      </c>
      <c r="B2" s="5" t="s">
        <v>16</v>
      </c>
      <c r="C2" s="5" t="s">
        <v>18</v>
      </c>
      <c r="D2" s="5" t="s">
        <v>17</v>
      </c>
      <c r="E2" s="5" t="s">
        <v>16</v>
      </c>
      <c r="F2" s="5" t="s">
        <v>17</v>
      </c>
    </row>
    <row r="3" spans="1:8" x14ac:dyDescent="0.35">
      <c r="A3" t="s">
        <v>19</v>
      </c>
      <c r="B3">
        <v>7.86</v>
      </c>
      <c r="C3">
        <v>7.6</v>
      </c>
      <c r="E3">
        <v>7.1</v>
      </c>
      <c r="F3">
        <v>6.36</v>
      </c>
      <c r="H3">
        <v>0.81799999999999995</v>
      </c>
    </row>
    <row r="4" spans="1:8" x14ac:dyDescent="0.35">
      <c r="A4" t="s">
        <v>20</v>
      </c>
      <c r="B4" s="6">
        <f>B3/$H$3</f>
        <v>9.6088019559902218</v>
      </c>
      <c r="C4" s="6">
        <f>C3/$H$3</f>
        <v>9.2909535452322736</v>
      </c>
      <c r="D4" s="7">
        <v>8.85</v>
      </c>
      <c r="E4" s="6">
        <f>E3/$H$3</f>
        <v>8.679706601466993</v>
      </c>
      <c r="F4" s="6">
        <f>F3/$H$3</f>
        <v>7.7750611246943775</v>
      </c>
    </row>
    <row r="5" spans="1:8" x14ac:dyDescent="0.35">
      <c r="B5" t="s">
        <v>26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Hedge Optimization</vt:lpstr>
      <vt:lpstr>Swaps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Montes</cp:lastModifiedBy>
  <dcterms:created xsi:type="dcterms:W3CDTF">2026-07-05T13:56:15Z</dcterms:created>
  <dcterms:modified xsi:type="dcterms:W3CDTF">2026-09-18T18:23:04Z</dcterms:modified>
</cp:coreProperties>
</file>